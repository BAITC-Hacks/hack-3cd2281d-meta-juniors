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6ceee2d8e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" sheetId="1" r:id="Rc2b2524ba7f049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0"/>
      <x:color rgb="FF172D29"/>
      <x:name val="Arial"/>
    </x:font>
    <x:font>
      <x:b/>
      <x:sz val="16"/>
      <x:color rgb="FF172D29"/>
      <x:name val="Arial"/>
    </x:font>
    <x:font>
      <x:i/>
      <x:sz val="10"/>
      <x:color rgb="FF52675F"/>
      <x:name val="Arial"/>
    </x:font>
    <x:font>
      <x:b/>
      <x:sz val="10"/>
      <x:color rgb="FF172D29"/>
      <x:name val="Arial"/>
    </x:font>
    <x:font>
      <x:b/>
      <x:sz val="14"/>
      <x:color rgb="FF185B4A"/>
      <x:name val="Arial"/>
    </x:font>
    <x:font>
      <x:b/>
      <x:sz val="10"/>
      <x:color rgb="FF185B4A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AF3EE"/>
      </x:patternFill>
    </x:fill>
    <x:fill>
      <x:patternFill patternType="solid">
        <x:fgColor rgb="FF185B4A"/>
      </x:patternFill>
    </x:fill>
    <x:fill>
      <x:patternFill patternType="solid">
        <x:fgColor rgb="FFF3F7F5"/>
      </x:patternFill>
    </x:fill>
  </x:fills>
  <x:borders count="6">
    <x:border/>
    <x:border>
      <x:bottom style="thin">
        <x:color rgb="FF185B4A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2DFD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5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7" fillId="3" borderId="2" xfId="0" applyNumberFormat="1" applyFont="1" applyFill="1" applyBorder="1" applyAlignment="1">
      <x:alignment horizontal="center" vertical="center" wrapText="1"/>
    </x:xf>
    <x:xf numFmtId="0" fontId="7" fillId="3" borderId="3" xfId="0" applyNumberFormat="1" applyFont="1" applyFill="1" applyBorder="1" applyAlignment="1">
      <x:alignment horizontal="center" vertical="center" wrapText="1"/>
    </x:xf>
    <x:xf numFmtId="0" fontId="7" fillId="3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185B4A"/>
      </x:font>
      <x:fill>
        <x:patternFill patternType="solid">
          <x:bgColor rgb="FFEAF3EE"/>
        </x:patternFill>
      </x:fill>
    </x:dxf>
    <x:dxf>
      <x:font>
        <x:b/>
        <x:color rgb="FF7A5C00"/>
      </x:font>
      <x:fill>
        <x:patternFill patternType="solid">
          <x:bgColor rgb="FFFFF2CC"/>
        </x:patternFill>
      </x:fill>
    </x:dxf>
    <x:dxf>
      <x:font>
        <x:b/>
        <x:color rgb="FF9C1C1C"/>
      </x:font>
      <x:fill>
        <x:patternFill patternType="solid">
          <x:bgColor rgb="FFFD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5bb22374904b77" /><Relationship Type="http://schemas.openxmlformats.org/officeDocument/2006/relationships/theme" Target="/xl/theme/theme1.xml" Id="R8e5850cd1dac4512" /><Relationship Type="http://schemas.openxmlformats.org/officeDocument/2006/relationships/sharedStrings" Target="/xl/sharedStrings.xml" Id="R6bb42605e2f649a3" /><Relationship Type="http://schemas.openxmlformats.org/officeDocument/2006/relationships/worksheet" Target="/xl/worksheets/sheet1.xml" Id="Rc2b2524ba7f049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5B4A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9" hidden="0" customWidth="1"/>
    <x:col min="2" max="2" width="32.5" hidden="0" customWidth="1"/>
    <x:col min="3" max="3" width="37.5" hidden="0" customWidth="1"/>
    <x:col min="4" max="4" width="34.380001068115234" hidden="0" customWidth="1"/>
    <x:col min="5" max="5" width="36.880001068115234" hidden="0" customWidth="1"/>
    <x:col min="6" max="6" width="15.630000114440918" hidden="0" customWidth="1"/>
    <x:col min="7" max="7" width="32.5" hidden="0" customWidth="1"/>
    <x:col min="8" max="8" width="26.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Career Quest Solution Validation Matrix</x:v>
      </x:c>
      <x:c r="B2" s="5"/>
      <x:c r="C2" s="5"/>
      <x:c r="D2" s="5"/>
      <x:c r="E2" s="5"/>
      <x:c r="F2" s="5"/>
      <x:c r="G2" s="5"/>
      <x:c r="H2" s="5"/>
    </x:row>
    <x:row r="3">
      <x:c r="A3" s="6" t="str">
        <x:v>Meta Juniors · HackAlem AI 2026 · Финальная проверка гипотез Discovery Matrix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9" t="str">
        <x:v>Реализовано</x:v>
      </x:c>
      <x:c r="B5" s="11" t="n">
        <x:f>COUNTIF(F9:F22,"Реализовано")</x:f>
        <x:v>12</x:v>
      </x:c>
      <x:c r="C5" s="9" t="str">
        <x:v>Частично</x:v>
      </x:c>
      <x:c r="D5" s="11" t="n">
        <x:f>COUNTIF(F9:F22,"Частично")</x:f>
        <x:v>1</x:v>
      </x:c>
      <x:c r="E5" s="9" t="str">
        <x:v>Требует пилота</x:v>
      </x:c>
      <x:c r="F5" s="11" t="n">
        <x:f>COUNTIF(F9:F22,"Требует пилота")</x:f>
        <x:v>1</x:v>
      </x:c>
      <x:c r="G5" s="9" t="str">
        <x:v>Всего гипотез</x:v>
      </x:c>
      <x:c r="H5" s="11" t="n">
        <x:f>COUNTA(A9:A22)</x:f>
        <x:v>14</x:v>
      </x:c>
    </x:row>
    <x:row r="6" ht="40" customHeight="1">
      <x:c r="A6" s="13" t="str">
        <x:v>Вывод</x:v>
      </x:c>
      <x:c r="B6" s="12" t="str">
        <x:v>Основной пользовательский и технический цикл подтверждён. Отдельное назначение эксперта требует развития, а влияние на вовлечённость можно проверить только на реальном пилоте.</x:v>
      </x:c>
      <x:c r="C6" s="12"/>
      <x:c r="D6" s="12"/>
      <x:c r="E6" s="12"/>
      <x:c r="F6" s="12"/>
      <x:c r="G6" s="12"/>
      <x:c r="H6" s="12"/>
    </x:row>
    <x:row r="7">
      <x:c r="A7" s="2"/>
      <x:c r="B7" s="2"/>
      <x:c r="C7" s="2"/>
      <x:c r="D7" s="2"/>
      <x:c r="E7" s="2"/>
      <x:c r="F7" s="2"/>
      <x:c r="G7" s="2"/>
      <x:c r="H7" s="2"/>
    </x:row>
    <x:row r="8" ht="42" customHeight="1">
      <x:c r="A8" s="18" t="str">
        <x:v>ID</x:v>
      </x:c>
      <x:c r="B8" s="19" t="str">
        <x:v>Исходная проблема или гипотеза</x:v>
      </x:c>
      <x:c r="C8" s="19" t="str">
        <x:v>Реализованное решение</x:v>
      </x:c>
      <x:c r="D8" s="19" t="str">
        <x:v>Доказательство в продукте</x:v>
      </x:c>
      <x:c r="E8" s="19" t="str">
        <x:v>Проверка и фактический результат</x:v>
      </x:c>
      <x:c r="F8" s="19" t="str">
        <x:v>Статус</x:v>
      </x:c>
      <x:c r="G8" s="19" t="str">
        <x:v>Ограничение или следующий шаг</x:v>
      </x:c>
      <x:c r="H8" s="20" t="str">
        <x:v>Основание</x:v>
      </x:c>
    </x:row>
    <x:row r="9" ht="105" customHeight="1">
      <x:c r="A9" s="21" t="str">
        <x:v>SV-01</x:v>
      </x:c>
      <x:c r="B9" s="12" t="str">
        <x:v>Каталог не объясняет сотруднику, какая активность приблизит его к карьерной цели.</x:v>
      </x:c>
      <x:c r="C9" s="12" t="str">
        <x:v>Система выдаёт 1–3 шага после расчёта цели, разрывов, истории, требований и нагрузки.</x:v>
      </x:c>
      <x:c r="D9" s="12" t="str">
        <x:v>Карточка показывает приоритет, формат, длительность, ожидаемый прирост и раскрываемое объяснение.</x:v>
      </x:c>
      <x:c r="E9" s="12" t="str">
        <x:v>Профили E0001 и E0028 проверены в браузере. Автотесты подтверждают допустимость и состав объяснений.</x:v>
      </x:c>
      <x:c r="F9" s="22" t="str">
        <x:v>Реализовано</x:v>
      </x:c>
      <x:c r="G9" s="12" t="str">
        <x:v>Качество выбора нужно дополнительно оценить на профилях жюри и реальных пользователях.</x:v>
      </x:c>
      <x:c r="H9" s="12" t="str">
        <x:v>ТЗ: ядро задачи; quest/services/recommendations.py; quest/tests.py</x:v>
      </x:c>
    </x:row>
    <x:row r="10" ht="105" customHeight="1">
      <x:c r="A10" s="23" t="str">
        <x:v>SV-02</x:v>
      </x:c>
      <x:c r="B10" s="24" t="str">
        <x:v>Навыки отражают последнюю аттестацию и не учитывают более поздние завершения.</x:v>
      </x:c>
      <x:c r="C10" s="24" t="str">
        <x:v>Завершённые активности после last_review_date применяются хронологически с gain и max_level.</x:v>
      </x:c>
      <x:c r="D10" s="24" t="str">
        <x:v>В профиле показаны актуальные уровни, разрывы и покрытия требований целевой роли.</x:v>
      </x:c>
      <x:c r="E10" s="24" t="str">
        <x:v>E0028: System Design пересчитан 2 → 3 после EV_006. Повторный расчёт не начисляет прирост снова.</x:v>
      </x:c>
      <x:c r="F10" s="25" t="str">
        <x:v>Реализовано</x:v>
      </x:c>
      <x:c r="G10" s="24" t="str">
        <x:v>Для self_paced поле date используется как приближение даты завершения: completed_at отсутствует в наборе.</x:v>
      </x:c>
      <x:c r="H10" s="24" t="str">
        <x:v>Датасет; quest/services/career.py; docs/ARCHITECTURE.md</x:v>
      </x:c>
    </x:row>
    <x:row r="11" ht="105" customHeight="1">
      <x:c r="A11" s="21" t="str">
        <x:v>SV-03</x:v>
      </x:c>
      <x:c r="B11" s="12" t="str">
        <x:v>У части сотрудников нет цели, а некоторые переходят в другую роль.</x:v>
      </x:c>
      <x:c r="C11" s="12" t="str">
        <x:v>Явная career_goal имеет приоритет. Без цели предлагается следующий грейд; Lead должен выбрать цель.</x:v>
      </x:c>
      <x:c r="D11" s="12" t="str">
        <x:v>Сотрудник может изменить роль и грейд. Пустое состояние объясняет необходимость выбора цели.</x:v>
      </x:c>
      <x:c r="E11" s="12" t="str">
        <x:v>Проверены смена роли, отсутствие цели, Lead без цели и отсутствие несуществующего следующего грейда.</x:v>
      </x:c>
      <x:c r="F11" s="22" t="str">
        <x:v>Реализовано</x:v>
      </x:c>
      <x:c r="G11" s="12" t="str">
        <x:v>Выбор карьерной цели остаётся решением сотрудника и не означает обещание повышения.</x:v>
      </x:c>
      <x:c r="H11" s="12" t="str">
        <x:v>Discovery Matrix; quest/services/career.py; quest/tests.py</x:v>
      </x:c>
    </x:row>
    <x:row r="12" ht="105" customHeight="1">
      <x:c r="A12" s="23" t="str">
        <x:v>SV-04</x:v>
      </x:c>
      <x:c r="B12" s="24" t="str">
        <x:v>Не каждое мероприятие подходит по роли, грейду, prerequisites, расписанию и прошлым прохождениям.</x:v>
      </x:c>
      <x:c r="C12" s="24" t="str">
        <x:v>Сервер формирует только допустимых кандидатов до обращения к модели.</x:v>
      </x:c>
      <x:c r="D12" s="24" t="str">
        <x:v>Обязательные, недоступные, бесполезные и уже активные шаги исключаются. EV_036 допускает повтор.</x:v>
      </x:c>
      <x:c r="E12" s="24" t="str">
        <x:v>Тесты покрывают аудиторию, prerequisites, self_paced, будущие сессии, mandatory и повторяемость.</x:v>
      </x:c>
      <x:c r="F12" s="25" t="str">
        <x:v>Реализовано</x:v>
      </x:c>
      <x:c r="G12" s="24" t="str">
        <x:v>Ограничения аудитории исходного каталога сохраняются и при карьерном переходе.</x:v>
      </x:c>
      <x:c r="H12" s="24" t="str">
        <x:v>events.json; data/README.ru.md; quest/services/career.py</x:v>
      </x:c>
    </x:row>
    <x:row r="13" ht="105" customHeight="1">
      <x:c r="A13" s="21" t="str">
        <x:v>SV-05</x:v>
      </x:c>
      <x:c r="B13" s="12" t="str">
        <x:v>Пропуски, отказы и прекращённые активности теряются при однофакторном подборе по навыку.</x:v>
      </x:c>
      <x:c r="C13" s="12" t="str">
        <x:v>Подбор учитывает агрегированную историю за 180 дней, формат, тип, завершения и негативные сигналы.</x:v>
      </x:c>
      <x:c r="D13" s="12" t="str">
        <x:v>Каждая карточка содержит отдельный проверяемый факт истории. Пропуск не является абсолютным запретом.</x:v>
      </x:c>
      <x:c r="E13" s="12" t="str">
        <x:v>Тесты меняют порядок при различной истории. Новый профиль с тремя no_show загружен и обработан.</x:v>
      </x:c>
      <x:c r="F13" s="22" t="str">
        <x:v>Реализовано</x:v>
      </x:c>
      <x:c r="G13" s="12" t="str">
        <x:v>Веса резервного ранжирования являются гипотезой команды и требуют калибровки на пилоте.</x:v>
      </x:c>
      <x:c r="H13" s="12" t="str">
        <x:v>activity_history.csv; quest/services/recommendations.py; docs/VERIFICATION.md</x:v>
      </x:c>
    </x:row>
    <x:row r="14" ht="105" customHeight="1">
      <x:c r="A14" s="23" t="str">
        <x:v>SV-06</x:v>
      </x:c>
      <x:c r="B14" s="24" t="str">
        <x:v>LLM может выбрать несуществующее событие или привести неподтверждённое объяснение.</x:v>
      </x:c>
      <x:c r="C14" s="24" t="str">
        <x:v>Модель ранжирует только серверный shortlist. Structured Output проходит повторную серверную валидацию.</x:v>
      </x:c>
      <x:c r="D14" s="24" t="str">
        <x:v>Проверяются event_id, повторы, evidence_id, критичность и численный эффект. При ошибке работает fallback.</x:v>
      </x:c>
      <x:c r="E14" s="24" t="str">
        <x:v>Контролируемый live-вызов GPT-4.1 mini: 4 437 мс, два допустимых события, факты gap + history.</x:v>
      </x:c>
      <x:c r="F14" s="25" t="str">
        <x:v>Реализовано</x:v>
      </x:c>
      <x:c r="G14" s="24" t="str">
        <x:v>Один live-вызов не доказывает стабильное качество и задержку под нагрузкой.</x:v>
      </x:c>
      <x:c r="H14" s="24" t="str">
        <x:v>quest/services/recommendations.py; docs/ARCHITECTURE.md; docs/VERIFICATION.md</x:v>
      </x:c>
    </x:row>
    <x:row r="15" ht="105" customHeight="1">
      <x:c r="A15" s="21" t="str">
        <x:v>SV-07</x:v>
      </x:c>
      <x:c r="B15" s="12" t="str">
        <x:v>Рекомендация без действия не становится личным маршрутом развития.</x:v>
      </x:c>
      <x:c r="C15" s="12" t="str">
        <x:v>Рекомендацию можно добавить, начать, убрать до старта и отслеживать в личном плане.</x:v>
      </x:c>
      <x:c r="D15" s="12" t="str">
        <x:v>Статусы: запланировано, в работе, на проверке, доработка, завершено. Есть отдельный прогноз плана.</x:v>
      </x:c>
      <x:c r="E15" s="12" t="str">
        <x:v>В браузере Mentor Track добавлен и начат. Прогноз изменился, фактические навыки остались прежними.</x:v>
      </x:c>
      <x:c r="F15" s="22" t="str">
        <x:v>Реализовано</x:v>
      </x:c>
      <x:c r="G15" s="12" t="str">
        <x:v>Интеграции с календарём и внешней LMS пока нет.</x:v>
      </x:c>
      <x:c r="H15" s="12" t="str">
        <x:v>quest/services/plans.py; quest/services/trajectory.py; docs/VERIFICATION.md</x:v>
      </x:c>
    </x:row>
    <x:row r="16" ht="105" customHeight="1">
      <x:c r="A16" s="23" t="str">
        <x:v>SV-08</x:v>
      </x:c>
      <x:c r="B16" s="24" t="str">
        <x:v>Нажатие «завершить» не доказывает приобретение навыка.</x:v>
      </x:c>
      <x:c r="C16" s="24" t="str">
        <x:v>Сотрудник отправляет результат. Проверяющий подтверждает критерии или возвращает работу на доработку.</x:v>
      </x:c>
      <x:c r="D16" s="24" t="str">
        <x:v>Версии результата и обратная связь сохраняются. Прямое завершение отключено; самопроверка запрещена.</x:v>
      </x:c>
      <x:c r="E16" s="24" t="str">
        <x:v>Полный QA-цикл: версия 1 → возврат → версия 2 → подтверждение; System Design 3 → 4, покрытие 72% → 74%.</x:v>
      </x:c>
      <x:c r="F16" s="25" t="str">
        <x:v>Реализовано</x:v>
      </x:c>
      <x:c r="G16" s="24" t="str">
        <x:v>Для каталожных курсов прототип хранит отчёт и ссылку, но не загружает материалы внешнего курса.</x:v>
      </x:c>
      <x:c r="H16" s="24" t="str">
        <x:v>quest/services/practice.py; quest/workflow_views.py; quest/tests.py</x:v>
      </x:c>
    </x:row>
    <x:row r="17" ht="105" customHeight="1">
      <x:c r="A17" s="21" t="str">
        <x:v>SV-09</x:v>
      </x:c>
      <x:c r="B17" s="12" t="str">
        <x:v>HR не видит общей картины дефицитов и сотрудников, которым нужна поддержка.</x:v>
      </x:c>
      <x:c r="C17" s="12" t="str">
        <x:v>HR-обзор агрегирует разрывы относительно индивидуальных целей и позволяет фильтровать одну выборку.</x:v>
      </x:c>
      <x:c r="D17" s="12" t="str">
        <x:v>Фильтры: подразделение, грейд, навык, поддержка, имя, ID и роль. Метрики и список согласованы.</x:v>
      </x:c>
      <x:c r="E17" s="12" t="str">
        <x:v>Проверены комбинированные фильтры, пустая выборка и переход от дефицита к сотрудникам.</x:v>
      </x:c>
      <x:c r="F17" s="22" t="str">
        <x:v>Реализовано</x:v>
      </x:c>
      <x:c r="G17" s="12" t="str">
        <x:v>Сигнал поддержки предназначен для разговора. Это не прогноз увольнения и не рейтинг людей.</x:v>
      </x:c>
      <x:c r="H17" s="12" t="str">
        <x:v>ТЗ: второй пользователь; quest/services/career.py; quest/tests.py</x:v>
      </x:c>
    </x:row>
    <x:row r="18" ht="105" customHeight="1">
      <x:c r="A18" s="23" t="str">
        <x:v>SV-10</x:v>
      </x:c>
      <x:c r="B18" s="24" t="str">
        <x:v>Проверочные профили жюри заранее неизвестны.</x:v>
      </x:c>
      <x:c r="C18" s="24" t="str">
        <x:v>HR загружает employees.json и activity_history.csv через preview и атомарное подтверждение.</x:v>
      </x:c>
      <x:c r="D18" s="24" t="str">
        <x:v>Показаны новые, изменяемые и неизменённые записи. После подтверждения доступны ссылки на профили.</x:v>
      </x:c>
      <x:c r="E18" s="24" t="str">
        <x:v>Через браузер загружены JUDGE_POLISH_01 и 3 строки истории. Повтор, stale preview и ошибки проверены тестами.</x:v>
      </x:c>
      <x:c r="F18" s="25" t="str">
        <x:v>Реализовано</x:v>
      </x:c>
      <x:c r="G18" s="24" t="str">
        <x:v>Импорт профиля не создаёт корпоративную учётную запись автоматически.</x:v>
      </x:c>
      <x:c r="H18" s="24" t="str">
        <x:v>ТЗ: must-have; quest/services/importer.py; docs/VERIFICATION.md</x:v>
      </x:c>
    </x:row>
    <x:row r="19" ht="105" customHeight="1">
      <x:c r="A19" s="21" t="str">
        <x:v>SV-11</x:v>
      </x:c>
      <x:c r="B19" s="12" t="str">
        <x:v>Данные развития сотрудников нельзя раскрывать другим пользователям.</x:v>
      </x:c>
      <x:c r="C19" s="12" t="str">
        <x:v>Разделены роли Employee и HR; изменения защищены Django sessions и CSRF.</x:v>
      </x:c>
      <x:c r="D19" s="12" t="str">
        <x:v>Employee видит только свой профиль и работы. HR не меняет цель и план за сотрудника.</x:v>
      </x:c>
      <x:c r="E19" s="12" t="str">
        <x:v>Проверены 403/404 без раскрытия профиля, logout POST, истечение сессии, stale CSRF и запрет самопроверки.</x:v>
      </x:c>
      <x:c r="F19" s="22" t="str">
        <x:v>Реализовано</x:v>
      </x:c>
      <x:c r="G19" s="12" t="str">
        <x:v>Для промышленного использования нужна корпоративная SSO и матрица доступа по подразделениям.</x:v>
      </x:c>
      <x:c r="H19" s="12" t="str">
        <x:v>quest/http_errors.py; quest/views.py; quest/tests.py</x:v>
      </x:c>
    </x:row>
    <x:row r="20" ht="105" customHeight="1">
      <x:c r="A20" s="23" t="str">
        <x:v>SV-12</x:v>
      </x:c>
      <x:c r="B20" s="24" t="str">
        <x:v>Сложный запуск и медленный интерфейс мешают независимой проверке решения.</x:v>
      </x:c>
      <x:c r="C20" s="24" t="str">
        <x:v>Приложение запускается одной Compose-командой, имеет healthcheck и не блокирует страницу ожиданием AI.</x:v>
      </x:c>
      <x:c r="D20" s="24" t="str">
        <x:v>README содержит запуск и демо-доступы. Интерфейс адаптирован для мобильной ширины 390 px.</x:v>
      </x:c>
      <x:c r="E20" s="24" t="str">
        <x:v>68 тестов на PostgreSQL: 31,3 с. Профиль: медиана 61,1 мс; HR-обзор 200 сотрудников: 253,4 мс.</x:v>
      </x:c>
      <x:c r="F20" s="25" t="str">
        <x:v>Реализовано</x:v>
      </x:c>
      <x:c r="G20" s="24" t="str">
        <x:v>Замеры выполнены локально и не заменяют нагрузочное тестирование.</x:v>
      </x:c>
      <x:c r="H20" s="24" t="str">
        <x:v>README.md; compose.yaml; docs/VERIFICATION.md</x:v>
      </x:c>
    </x:row>
    <x:row r="21" ht="105" customHeight="1">
      <x:c r="A21" s="21" t="str">
        <x:v>SV-13</x:v>
      </x:c>
      <x:c r="B21" s="12" t="str">
        <x:v>Исходный каталог может не закрывать критичный разрыв сотрудника.</x:v>
      </x:c>
      <x:c r="C21" s="12" t="str">
        <x:v>Сотрудник запрашивает индивидуальную практику; HR координирует задание, критерии и проверку результата.</x:v>
      </x:c>
      <x:c r="D21" s="12" t="str">
        <x:v>Для System Design подготовлен редактируемый кейс. Персональная практика защищена от чужого доступа и импорта.</x:v>
      </x:c>
      <x:c r="E21" s="12" t="str">
        <x:v>Изолированный браузерный сценарий прошёл от запроса до подтверждения и обновления навыка 3 → 4.</x:v>
      </x:c>
      <x:c r="F21" s="22" t="str">
        <x:v>Частично</x:v>
      </x:c>
      <x:c r="G21" s="12" t="str">
        <x:v>Нет отдельной роли и назначения эксперта. Техническую оценку пока проводят через общий HR-кабинет.</x:v>
      </x:c>
      <x:c r="H21" s="12" t="str">
        <x:v>quest/services/practice.py; docs/DEMO.md; docs/VERIFICATION.md</x:v>
      </x:c>
    </x:row>
    <x:row r="22" ht="105" customHeight="1">
      <x:c r="A22" s="26" t="str">
        <x:v>SV-14</x:v>
      </x:c>
      <x:c r="B22" s="27" t="str">
        <x:v>Понятный путь развития должен повысить осознанность выбора и вовлечённость в добровольное обучение.</x:v>
      </x:c>
      <x:c r="C22" s="27" t="str">
        <x:v>Продукт показывает связь цели, шага, ожидаемого эффекта и подтверждённого результата.</x:v>
      </x:c>
      <x:c r="D22" s="27" t="str">
        <x:v>Сценарий и интерфейс реализованы, но датасет не содержит поведения пользователей после внедрения Career Quest.</x:v>
      </x:c>
      <x:c r="E22" s="27" t="str">
        <x:v>На хакатоне проверены корректность, объяснимость и работоспособность. Причинный бизнес-эффект не измерялся.</x:v>
      </x:c>
      <x:c r="F22" s="28" t="str">
        <x:v>Требует пилота</x:v>
      </x:c>
      <x:c r="G22" s="27" t="str">
        <x:v>Провести пилот с контрольной группой: выбор рекомендаций, старт и завершение добровольных активностей.</x:v>
      </x:c>
      <x:c r="H22" s="27" t="str">
        <x:v>Discovery Matrix: гипотеза ценности; ТЗ: проблема; docs/VERIFICATION.md</x:v>
      </x:c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 ht="44" customHeight="1">
      <x:c r="A25" s="13" t="str">
        <x:v>Как читать</x:v>
      </x:c>
      <x:c r="B25" s="12" t="str">
        <x:v>Каждая строка связывает исходную проблему из Discovery Matrix с реализованной функцией, фактом проверки и честно зафиксированным ограничением. Статус «Реализовано» подтверждает техническую проверку, но не заменяет продуктовый пилот.</x:v>
      </x:c>
      <x:c r="C25" s="12"/>
      <x:c r="D25" s="12"/>
      <x:c r="E25" s="12"/>
      <x:c r="F25" s="12"/>
      <x:c r="G25" s="12"/>
      <x:c r="H25" s="1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 ht="28" customHeight="1">
      <x:c r="A27" s="13" t="str">
        <x:v>Источники</x:v>
      </x:c>
      <x:c r="B27" s="12" t="str">
        <x:v>Техническое задание Career Quest, предоставленное организатором.</x:v>
      </x:c>
      <x:c r="C27" s="12"/>
      <x:c r="D27" s="12"/>
      <x:c r="E27" s="12"/>
      <x:c r="F27" s="12"/>
      <x:c r="G27" s="12"/>
      <x:c r="H27" s="12"/>
    </x:row>
    <x:row r="28" ht="28" customHeight="1">
      <x:c r="A28" s="2"/>
      <x:c r="B28" s="12" t="str">
        <x:v>Discovery Matrix AS-IS.xlsx; исходный датасет employees.json, events.json, skills.json, activity_history.csv.</x:v>
      </x:c>
      <x:c r="C28" s="12"/>
      <x:c r="D28" s="12"/>
      <x:c r="E28" s="12"/>
      <x:c r="F28" s="12"/>
      <x:c r="G28" s="12"/>
      <x:c r="H28" s="12"/>
    </x:row>
    <x:row r="29" ht="28" customHeight="1">
      <x:c r="A29" s="2"/>
      <x:c r="B29" s="12" t="str">
        <x:v>README.md, docs/ARCHITECTURE.md, docs/DEMO.md, docs/VERIFICATION.md и исходный код репозитория.</x:v>
      </x:c>
      <x:c r="C29" s="12"/>
      <x:c r="D29" s="12"/>
      <x:c r="E29" s="12"/>
      <x:c r="F29" s="12"/>
      <x:c r="G29" s="12"/>
      <x:c r="H29" s="1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</x:sheetData>
  <x:mergeCells>
    <x:mergeCell ref="B6:H6"/>
    <x:mergeCell ref="B25:H25"/>
    <x:mergeCell ref="B27:H27"/>
    <x:mergeCell ref="B28:H28"/>
    <x:mergeCell ref="B29:H29"/>
  </x:mergeCells>
  <x:conditionalFormatting sqref="F9:F22">
    <x:cfRule type="containsText" dxfId="0" priority="1" operator="containsText" text="Реализовано"/>
    <x:cfRule type="containsText" dxfId="1" priority="2" operator="containsText" text="Частично"/>
    <x:cfRule type="containsText" dxfId="2" priority="3" operator="containsText" text="Требует пилота"/>
  </x:conditionalFormatting>
  <x:dataValidations count="1">
    <x:dataValidation type="list" sqref="F9:F22">
      <x:formula1>"Реализовано,Частично,Требует пилота"</x:formula1>
    </x:dataValidation>
  </x:dataValidations>
  <x:pageMargins left="0.7" right="0.7" top="0.75" bottom="0.75" header="0.3" footer="0.3"/>
</x:worksheet>
</file>