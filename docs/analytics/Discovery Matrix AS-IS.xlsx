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d4747403a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covery" sheetId="1" r:id="R434d2222c09f476a"/>
    <x:sheet xmlns:r="http://schemas.openxmlformats.org/officeDocument/2006/relationships" name="MVP и проверка" sheetId="2" r:id="R1b864d1ab4cc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%"/>
  </x:numFmts>
  <x:fonts count="6">
    <x:font>
      <x:sz val="11"/>
      <x:name val="Carlito"/>
    </x:font>
    <x:font>
      <x:sz val="11"/>
      <x:color rgb="FF172D29"/>
      <x:name val="Arial"/>
    </x:font>
    <x:font>
      <x:b/>
      <x:sz val="17"/>
      <x:color rgb="FF172D29"/>
      <x:name val="Arial"/>
    </x:font>
    <x:font>
      <x:sz val="11"/>
      <x:color rgb="FF52675F"/>
      <x:name val="Arial"/>
    </x:font>
    <x:font>
      <x:b/>
      <x:sz val="11"/>
      <x:color rgb="FFFFFFFF"/>
      <x:name val="Arial"/>
    </x:font>
    <x:font>
      <x:b/>
      <x:sz val="11"/>
      <x:color rgb="FF172D2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5B4A"/>
      </x:patternFill>
    </x:fill>
    <x:fill>
      <x:patternFill patternType="solid">
        <x:fgColor rgb="FFF3F7F5"/>
      </x:patternFill>
    </x:fill>
    <x:fill>
      <x:patternFill patternType="solid">
        <x:fgColor rgb="FFEAF3EE"/>
      </x:patternFill>
    </x:fill>
    <x:fill>
      <x:patternFill patternType="solid">
        <x:fgColor rgb="FFFFF2CC"/>
      </x:patternFill>
    </x:fill>
    <x:fill>
      <x:patternFill patternType="solid">
        <x:fgColor rgb="FFFFF9E9"/>
      </x:patternFill>
    </x:fill>
  </x:fills>
  <x:borders count="6">
    <x:border/>
    <x:border>
      <x:bottom style="thin">
        <x:color rgb="FF185B4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2DFD8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5" xfId="0" applyNumberFormat="1" applyFont="1" applyFill="1" applyBorder="1" applyAlignment="1">
      <x:alignment horizontal="right" vertical="center" wrapText="1"/>
    </x:xf>
    <x:xf numFmtId="201" fontId="1" fillId="3" borderId="5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2" fontId="1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2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ont>
        <x:color rgb="FF9C1C1C"/>
      </x:font>
      <x:fill>
        <x:patternFill patternType="solid">
          <x:bgColor rgb="FFFD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cd420a1e148da" /><Relationship Type="http://schemas.openxmlformats.org/officeDocument/2006/relationships/theme" Target="/xl/theme/theme1.xml" Id="R92538c46f51e4991" /><Relationship Type="http://schemas.openxmlformats.org/officeDocument/2006/relationships/sharedStrings" Target="/xl/sharedStrings.xml" Id="R4845b7ab10b14636" /><Relationship Type="http://schemas.openxmlformats.org/officeDocument/2006/relationships/worksheet" Target="/xl/worksheets/sheet1.xml" Id="R434d2222c09f476a" /><Relationship Type="http://schemas.openxmlformats.org/officeDocument/2006/relationships/worksheet" Target="/xl/worksheets/sheet2.xml" Id="R1b864d1ab4cc49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5B4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9.3799991607666" hidden="0" customWidth="1"/>
    <x:col min="2" max="2" width="35.630001068115234" hidden="0" customWidth="1"/>
    <x:col min="3" max="3" width="39.380001068115234" hidden="0" customWidth="1"/>
    <x:col min="4" max="4" width="30" hidden="0" customWidth="1"/>
    <x:col min="5" max="5" width="36.880001068115234" hidden="0" customWidth="1"/>
    <x:col min="6" max="6" width="19.3799991607666" hidden="0" customWidth="1"/>
    <x:col min="7" max="7" width="18.7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Career Quest Discovery Matrix</x:v>
      </x:c>
      <x:c r="B2" s="5"/>
      <x:c r="C2" s="5"/>
      <x:c r="D2" s="5"/>
      <x:c r="E2" s="5"/>
      <x:c r="F2" s="5"/>
      <x:c r="G2" s="5"/>
    </x:row>
    <x:row r="3" ht="22" customHeight="1">
      <x:c r="A3" s="6" t="str">
        <x:v>Meta Juniors. HackAlem AI. Кейс Halyk Bank. Планирование 23 сентября 2026.</x:v>
      </x:c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65" customHeight="1">
      <x:c r="A5" s="2" t="str">
        <x:v>Цель MVP</x:v>
      </x:c>
      <x:c r="B5" s="7" t="str">
        <x:v>От профиля и истории к 1–3 шагам развития с объяснением и измеримым прогрессом.</x:v>
      </x:c>
      <x:c r="C5" s="7" t="str">
        <x:v>Гипотеза ценности: видимый путь к цели поможет сотруднику осознанно выбирать обучение. Проверяем на демо.</x:v>
      </x:c>
      <x:c r="D5" s="2" t="str">
        <x:v>Дата среза данных</x:v>
      </x:c>
      <x:c r="E5" s="9" t="n">
        <x:v>46296</x:v>
      </x:c>
      <x:c r="F5" s="2" t="str">
        <x:v>Разработка</x:v>
      </x:c>
      <x:c r="G5" s="2" t="str">
        <x:v>13:00–18:00</x:v>
      </x:c>
    </x:row>
    <x:row r="6" ht="38" customHeight="1">
      <x:c r="A6" s="2"/>
      <x:c r="B6" s="7"/>
      <x:c r="C6" s="7"/>
      <x:c r="D6" s="2" t="str">
        <x:v>Измеряем в MVP</x:v>
      </x:c>
      <x:c r="E6" s="7" t="str">
        <x:v>Корректность рекомендаций, прогресса и время ответа</x:v>
      </x:c>
      <x:c r="F6" s="2"/>
      <x:c r="G6" s="2"/>
    </x:row>
    <x:row r="7" ht="22" customHeight="1">
      <x:c r="A7" s="2"/>
      <x:c r="B7" s="2"/>
      <x:c r="C7" s="2"/>
      <x:c r="D7" s="2"/>
      <x:c r="E7" s="2"/>
      <x:c r="F7" s="2"/>
      <x:c r="G7" s="2"/>
    </x:row>
    <x:row r="8" ht="34" customHeight="1">
      <x:c r="A8" s="14" t="str">
        <x:v>Блок</x:v>
      </x:c>
      <x:c r="B8" s="15" t="str">
        <x:v>AS IS и проблема</x:v>
      </x:c>
      <x:c r="C8" s="15" t="str">
        <x:v>TO BE и решение</x:v>
      </x:c>
      <x:c r="D8" s="15" t="str">
        <x:v>Основание</x:v>
      </x:c>
      <x:c r="E8" s="15" t="str">
        <x:v>Как проверим</x:v>
      </x:c>
      <x:c r="F8" s="15" t="str">
        <x:v>Владелец</x:v>
      </x:c>
      <x:c r="G8" s="16" t="str">
        <x:v>Статус</x:v>
      </x:c>
    </x:row>
    <x:row r="9" ht="88" customHeight="1">
      <x:c r="A9" s="7" t="str">
        <x:v>Пользователь</x:v>
      </x:c>
      <x:c r="B9" s="7" t="str">
        <x:v>Сотрудник со стажем 1–5 лет получает разрозненные HR-уведомления.</x:v>
      </x:c>
      <x:c r="C9" s="7" t="str">
        <x:v>Личный профиль, карьерная цель и объяснимый следующий шаг.</x:v>
      </x:c>
      <x:c r="D9" s="7" t="str">
        <x:v>ТЗ Career Quest, разделы 2–4.</x:v>
      </x:c>
      <x:c r="E9" s="7" t="str">
        <x:v>Пользователь может объяснить, зачем ему предложена активность.</x:v>
      </x:c>
      <x:c r="F9" s="18" t="str">
        <x:v>Аналитик</x:v>
      </x:c>
      <x:c r="G9" s="18" t="str">
        <x:v>Из ТЗ</x:v>
      </x:c>
    </x:row>
    <x:row r="10" ht="88" customHeight="1">
      <x:c r="A10" s="17" t="str">
        <x:v>Боль компании</x:v>
      </x:c>
      <x:c r="B10" s="17" t="str">
        <x:v>Обучение проходит формально; добровольные активности собирают низкую явку.</x:v>
      </x:c>
      <x:c r="C10" s="17" t="str">
        <x:v>Подбирать релевантное развитие и показывать его связь с карьерной целью.</x:v>
      </x:c>
      <x:c r="D10" s="17" t="str">
        <x:v>ТЗ, описание проблемы. Фактический эффект решения ещё не измерен.</x:v>
      </x:c>
      <x:c r="E10" s="17" t="str">
        <x:v>Гипотеза: выбор активности становится понятнее. Рост завершаемости проверяется в будущем пилоте.</x:v>
      </x:c>
      <x:c r="F10" s="19" t="str">
        <x:v>Аналитик</x:v>
      </x:c>
      <x:c r="G10" s="19" t="str">
        <x:v>Гипотеза</x:v>
      </x:c>
    </x:row>
    <x:row r="11" ht="88" customHeight="1">
      <x:c r="A11" s="7" t="str">
        <x:v>AS IS</x:v>
      </x:c>
      <x:c r="B11" s="7" t="str">
        <x:v>Профиль, каталог событий и история существуют отдельно. Навыки отражают последнюю аттестацию.</x:v>
      </x:c>
      <x:c r="C11" s="7" t="str">
        <x:v>Восстановить актуальные навыки из профиля и завершённых активностей после аттестации.</x:v>
      </x:c>
      <x:c r="D11" s="7" t="str">
        <x:v>README.ru.md, employees; 318 записей completed после даты оценки у 133 сотрудников.</x:v>
      </x:c>
      <x:c r="E11" s="7" t="str">
        <x:v>E0028: System Design должен стать 3 вместо исходных 2.</x:v>
      </x:c>
      <x:c r="F11" s="18" t="str">
        <x:v>Разработчик</x:v>
      </x:c>
      <x:c r="G11" s="18" t="str">
        <x:v>Из данных</x:v>
      </x:c>
    </x:row>
    <x:row r="12" ht="88" customHeight="1">
      <x:c r="A12" s="17" t="str">
        <x:v>Карьерная цель</x:v>
      </x:c>
      <x:c r="B12" s="17" t="str">
        <x:v>У 66 сотрудников цель не задана; у 28 указана другая роль.</x:v>
      </x:c>
      <x:c r="C12" s="17" t="str">
        <x:v>Учитывать career_goal. При отсутствии предложить следующий грейд; для Lead попросить выбрать цель.</x:v>
      </x:c>
      <x:c r="D12" s="17" t="str">
        <x:v>employees.json. Порядок грейдов задан в README. Поведение без цели — наше решение.</x:v>
      </x:c>
      <x:c r="E12" s="17" t="str">
        <x:v>Проверить смену роли, отсутствие цели и Lead без цели. Не создавать несуществующий грейд.</x:v>
      </x:c>
      <x:c r="F12" s="19" t="str">
        <x:v>Аналитик</x:v>
      </x:c>
      <x:c r="G12" s="19" t="str">
        <x:v>Предложено</x:v>
      </x:c>
    </x:row>
    <x:row r="13" ht="88" customHeight="1">
      <x:c r="A13" s="7" t="str">
        <x:v>Разрывы навыков</x:v>
      </x:c>
      <x:c r="B13" s="7" t="str">
        <x:v>Минимальный навык может не влиять на целевой грейд.</x:v>
      </x:c>
      <x:c r="C13" s="7" t="str">
        <x:v>Сравнить текущие навыки с required_skills и отдельно выделить critical_skills целевого профиля.</x:v>
      </x:c>
      <x:c r="D13" s="7" t="str">
        <x:v>skills.json: 32 role_profiles; ТЗ запрещает однофакторную рекомендацию.</x:v>
      </x:c>
      <x:c r="E13" s="7" t="str">
        <x:v>Профиль с низким некритичным навыком не должен вытеснять важный карьерный разрыв.</x:v>
      </x:c>
      <x:c r="F13" s="18" t="str">
        <x:v>Разработчик</x:v>
      </x:c>
      <x:c r="G13" s="18" t="str">
        <x:v>Из ТЗ</x:v>
      </x:c>
    </x:row>
    <x:row r="14" ht="88" customHeight="1">
      <x:c r="A14" s="17" t="str">
        <x:v>Доступность событий</x:v>
      </x:c>
      <x:c r="B14" s="17" t="str">
        <x:v>Не каждое событие подходит по роли, грейду, предпосылкам и расписанию.</x:v>
      </x:c>
      <x:c r="C14" s="17" t="str">
        <x:v>Отфильтровать обязательные, недоступные и уже завершённые события. EV_036 можно повторять.</x:v>
      </x:c>
      <x:c r="D14" s="17" t="str">
        <x:v>events.json; README, правила участия и повторов.</x:v>
      </x:c>
      <x:c r="E14" s="17" t="str">
        <x:v>Ни одной рекомендации с нарушенной предпосылкой; self_paced доступен без списка сессий.</x:v>
      </x:c>
      <x:c r="F14" s="19" t="str">
        <x:v>Разработчик</x:v>
      </x:c>
      <x:c r="G14" s="19" t="str">
        <x:v>Из данных</x:v>
      </x:c>
    </x:row>
    <x:row r="15" ht="88" customHeight="1">
      <x:c r="A15" s="7" t="str">
        <x:v>История вовлечённости</x:v>
      </x:c>
      <x:c r="B15" s="7" t="str">
        <x:v>Пропуски, отказы и прекращённые курсы теряются за общим списком навыков.</x:v>
      </x:c>
      <x:c r="C15" s="7" t="str">
        <x:v>Учитывать недавность, формат, тип, повторные пропуски и отзывы. Не считать отказ доказательством причины.</x:v>
      </x:c>
      <x:c r="D15" s="7" t="str">
        <x:v>activity_history.csv; ТЗ, проверочные профили. Вес факторов — гипотеза команды.</x:v>
      </x:c>
      <x:c r="E15" s="7" t="str">
        <x:v>При одинаковых навыках разная история может менять выбор или порядок шагов с объяснением.</x:v>
      </x:c>
      <x:c r="F15" s="18" t="str">
        <x:v>Аналитик</x:v>
      </x:c>
      <x:c r="G15" s="18" t="str">
        <x:v>Предложено</x:v>
      </x:c>
    </x:row>
    <x:row r="16" ht="88" customHeight="1">
      <x:c r="A16" s="17" t="str">
        <x:v>Роль AI</x:v>
      </x:c>
      <x:c r="B16" s="17" t="str">
        <x:v>Фиксированный сценарий плохо учитывает сочетание цели, ограничений и истории.</x:v>
      </x:c>
      <x:c r="C16" s="17" t="str">
        <x:v>Django рассчитывает факты и допустимых кандидатов; LLM выбирает 1–3 шага и объясняет компромиссы.</x:v>
      </x:c>
      <x:c r="D16" s="17" t="str">
        <x:v>ТЗ, качество и объяснимость рекомендации. Архитектура предложена командой.</x:v>
      </x:c>
      <x:c r="E16" s="17" t="str">
        <x:v>Выбор ссылается на реальные event_id; объяснение содержит цель, разрыв и данные истории.</x:v>
      </x:c>
      <x:c r="F16" s="19" t="str">
        <x:v>Разработчик</x:v>
      </x:c>
      <x:c r="G16" s="19" t="str">
        <x:v>Предложено</x:v>
      </x:c>
    </x:row>
    <x:row r="17" ht="88" customHeight="1">
      <x:c r="A17" s="7" t="str">
        <x:v>Прогресс</x:v>
      </x:c>
      <x:c r="B17" s="7" t="str">
        <x:v>Завершение активности не показывает сотруднику изменение траектории.</x:v>
      </x:c>
      <x:c r="C17" s="7" t="str">
        <x:v>После completed начислить gain в пределах max_level и пересчитать разрывы. Прогресс не означает автоматическое повышение.</x:v>
      </x:c>
      <x:c r="D17" s="7" t="str">
        <x:v>events.json, develops_skills; ТЗ, обновление прогресса.</x:v>
      </x:c>
      <x:c r="E17" s="7" t="str">
        <x:v>Повторный запрос завершения не даёт второй прирост. Уровень никогда не падает и не превышает 5.</x:v>
      </x:c>
      <x:c r="F17" s="18" t="str">
        <x:v>Разработчик</x:v>
      </x:c>
      <x:c r="G17" s="18" t="str">
        <x:v>Из ТЗ</x:v>
      </x:c>
    </x:row>
    <x:row r="18" ht="88" customHeight="1">
      <x:c r="A18" s="17" t="str">
        <x:v>HR</x:v>
      </x:c>
      <x:c r="B18" s="17" t="str">
        <x:v>HR не видит общей картины дефицита компетенций и выпадения из развития.</x:v>
      </x:c>
      <x:c r="C18" s="17" t="str">
        <x:v>HR видит разрывы и участие команды. Сотрудник видит только собственный профиль и историю.</x:v>
      </x:c>
      <x:c r="D18" s="17" t="str">
        <x:v>ТЗ, второй пользователь и ограничения приватности.</x:v>
      </x:c>
      <x:c r="E18" s="17" t="str">
        <x:v>HR видит свой разрешённый срез; сотрудник не получает чужую историю через API.</x:v>
      </x:c>
      <x:c r="F18" s="19" t="str">
        <x:v>QA и README</x:v>
      </x:c>
      <x:c r="G18" s="19" t="str">
        <x:v>Из ТЗ</x:v>
      </x:c>
    </x:row>
    <x:row r="19" ht="88" customHeight="1">
      <x:c r="A19" s="7" t="str">
        <x:v>Загрузка жюри</x:v>
      </x:c>
      <x:c r="B19" s="7" t="str">
        <x:v>Проверочные профили заранее неизвестны.</x:v>
      </x:c>
      <x:c r="C19" s="7" t="str">
        <x:v>Загрузить дополнительные профили и CSV-историю по схеме кита без ручного изменения кода.</x:v>
      </x:c>
      <x:c r="D19" s="7" t="str">
        <x:v>ТЗ, must-have; README, правила. JSON-корни содержат meta и employees/events.</x:v>
      </x:c>
      <x:c r="E19" s="7" t="str">
        <x:v>Импортировать новый ID, связать историю, выдать рекомендации. Повторный импорт не дублирует данные.</x:v>
      </x:c>
      <x:c r="F19" s="18" t="str">
        <x:v>Разработчик</x:v>
      </x:c>
      <x:c r="G19" s="18" t="str">
        <x:v>Из ТЗ</x:v>
      </x:c>
    </x:row>
    <x:row r="20" ht="88" customHeight="1">
      <x:c r="A20" s="17" t="str">
        <x:v>Отклик и запуск</x:v>
      </x:c>
      <x:c r="B20" s="17" t="str">
        <x:v>Медленное AI-ожидание и сложная установка мешают проверке.</x:v>
      </x:c>
      <x:c r="C20" s="17" t="str">
        <x:v>Интерфейс до 2 с; рекомендация до 10 с. Одна команда запуска и демонстрационные доступы.</x:v>
      </x:c>
      <x:c r="D20" s="17" t="str">
        <x:v>ТЗ, разделы 5 и 9; Положение, самостоятельная проверка.</x:v>
      </x:c>
      <x:c r="E20" s="17" t="str">
        <x:v>Замерить полный пользовательский запрос; запустить на втором ноутбуке по README.</x:v>
      </x:c>
      <x:c r="F20" s="19" t="str">
        <x:v>QA и README</x:v>
      </x:c>
      <x:c r="G20" s="19" t="str">
        <x:v>Из ТЗ</x:v>
      </x:c>
    </x:row>
    <x:row r="21" ht="88" customHeight="1">
      <x:c r="A21" s="7" t="str">
        <x:v>Границы MVP</x:v>
      </x:c>
      <x:c r="B21" s="7" t="str">
        <x:v>Геймификация и расширенные механики увеличивают объём работы.</x:v>
      </x:c>
      <x:c r="C21" s="7" t="str">
        <x:v>MUST: импорт, актуальные навыки, рекомендации, завершение, HR и роли. Валюта, награды и соцмеханики позже.</x:v>
      </x:c>
      <x:c r="D21" s="7" t="str">
        <x:v>ТЗ: геймификация не обязательна; дополнительные функции в разделе 8.</x:v>
      </x:c>
      <x:c r="E21" s="7" t="str">
        <x:v>Каждый новый экран должен помогать обязательному сценарию или проверке.</x:v>
      </x:c>
      <x:c r="F21" s="18" t="str">
        <x:v>Вся команда</x:v>
      </x:c>
      <x:c r="G21" s="18" t="str">
        <x:v>Предложено</x:v>
      </x:c>
    </x:row>
    <x:row r="22" ht="88" customHeight="1">
      <x:c r="A22" s="17" t="str">
        <x:v>Демо</x:v>
      </x:c>
      <x:c r="B22" s="17" t="str">
        <x:v>Общий рассказ о персонализации не доказывает качество выбора.</x:v>
      </x:c>
      <x:c r="C22" s="17" t="str">
        <x:v>Новый профиль → актуальные навыки → 1–3 шага → причины → выполнение → прогресс → HR.</x:v>
      </x:c>
      <x:c r="D22" s="17" t="str">
        <x:v>ТЗ, ключевой сценарий и проверочные профили.</x:v>
      </x:c>
      <x:c r="E22" s="17" t="str">
        <x:v>Подготовить обычный и сложный пример. Показать отсутствие полезных событий честно, если оно есть.</x:v>
      </x:c>
      <x:c r="F22" s="19" t="str">
        <x:v>Аналитик</x:v>
      </x:c>
      <x:c r="G22" s="19" t="str">
        <x:v>Предложено</x:v>
      </x:c>
    </x:row>
    <x:row r="23" ht="88" customHeight="1">
      <x:c r="A23" s="7" t="str">
        <x:v>Метрика пользы</x:v>
      </x:c>
      <x:c r="B23" s="7" t="str">
        <x:v>Причинная связь между рекомендацией и ростом вовлечённости пока не проверена.</x:v>
      </x:c>
      <x:c r="C23" s="7" t="str">
        <x:v>На хакатоне измерить корректность и понятность. В пилоте — выбор рекомендаций и завершение добровольных активностей.</x:v>
      </x:c>
      <x:c r="D23" s="7" t="str">
        <x:v>Продуктовая гипотеза. Датасет не содержит эффекта нашего будущего продукта.</x:v>
      </x:c>
      <x:c r="E23" s="7" t="str">
        <x:v>Не заявлять выдуманный рост вовлечённости или ROI. Для пилота определить период и группу сравнения.</x:v>
      </x:c>
      <x:c r="F23" s="18" t="str">
        <x:v>Аналитик</x:v>
      </x:c>
      <x:c r="G23" s="18" t="str">
        <x:v>Гипотеза</x:v>
      </x:c>
    </x:row>
    <x:row r="24" ht="22" customHeight="1">
      <x:c r="A24" s="2"/>
      <x:c r="B24" s="2"/>
      <x:c r="C24" s="2"/>
      <x:c r="D24" s="2"/>
      <x:c r="E24" s="2"/>
      <x:c r="F24" s="2"/>
      <x:c r="G24" s="2"/>
    </x:row>
    <x:row r="25" ht="22" customHeight="1">
      <x:c r="A25" s="2"/>
      <x:c r="B25" s="2"/>
      <x:c r="C25" s="2"/>
      <x:c r="D25" s="2"/>
      <x:c r="E25" s="2"/>
      <x:c r="F25" s="2"/>
      <x:c r="G25" s="2"/>
    </x:row>
    <x:row r="26" ht="34" customHeight="1">
      <x:c r="A26" s="14" t="str">
        <x:v>Факт</x:v>
      </x:c>
      <x:c r="B26" s="15" t="str">
        <x:v>Значение</x:v>
      </x:c>
      <x:c r="C26" s="15" t="str">
        <x:v>Определение</x:v>
      </x:c>
      <x:c r="D26" s="16" t="str">
        <x:v>Источник</x:v>
      </x:c>
      <x:c r="E26" s="2"/>
      <x:c r="F26" s="2"/>
      <x:c r="G26" s="2"/>
    </x:row>
    <x:row r="27" ht="40" customHeight="1">
      <x:c r="A27" s="7" t="str">
        <x:v>Сотрудники</x:v>
      </x:c>
      <x:c r="B27" s="24" t="n">
        <x:v>200</x:v>
      </x:c>
      <x:c r="C27" s="7" t="str">
        <x:v>Всего профилей</x:v>
      </x:c>
      <x:c r="D27" s="7" t="str">
        <x:v>employees.json → employees</x:v>
      </x:c>
      <x:c r="E27" s="2"/>
      <x:c r="F27" s="2"/>
      <x:c r="G27" s="2"/>
    </x:row>
    <x:row r="28" ht="40" customHeight="1">
      <x:c r="A28" s="17" t="str">
        <x:v>Мероприятия</x:v>
      </x:c>
      <x:c r="B28" s="25" t="n">
        <x:v>40</x:v>
      </x:c>
      <x:c r="C28" s="17" t="str">
        <x:v>4 обязательных, 36 добровольных</x:v>
      </x:c>
      <x:c r="D28" s="17" t="str">
        <x:v>events.json → events</x:v>
      </x:c>
      <x:c r="E28" s="2"/>
      <x:c r="F28" s="2"/>
      <x:c r="G28" s="2"/>
    </x:row>
    <x:row r="29" ht="40" customHeight="1">
      <x:c r="A29" s="7" t="str">
        <x:v>Навыки</x:v>
      </x:c>
      <x:c r="B29" s="24" t="n">
        <x:v>60</x:v>
      </x:c>
      <x:c r="C29" s="7" t="str">
        <x:v>Шкала 0–5; отсутствующий навык = 0</x:v>
      </x:c>
      <x:c r="D29" s="7" t="str">
        <x:v>skills.json → skills; README</x:v>
      </x:c>
      <x:c r="E29" s="2"/>
      <x:c r="F29" s="2"/>
      <x:c r="G29" s="2"/>
    </x:row>
    <x:row r="30" ht="40" customHeight="1">
      <x:c r="A30" s="17" t="str">
        <x:v>Профили требований</x:v>
      </x:c>
      <x:c r="B30" s="25" t="n">
        <x:v>32</x:v>
      </x:c>
      <x:c r="C30" s="17" t="str">
        <x:v>8 ролей × 4 грейда</x:v>
      </x:c>
      <x:c r="D30" s="17" t="str">
        <x:v>skills.json → role_profiles</x:v>
      </x:c>
      <x:c r="E30" s="2"/>
      <x:c r="F30" s="2"/>
      <x:c r="G30" s="2"/>
    </x:row>
    <x:row r="31" ht="40" customHeight="1">
      <x:c r="A31" s="7" t="str">
        <x:v>История</x:v>
      </x:c>
      <x:c r="B31" s="24" t="n">
        <x:v>2743</x:v>
      </x:c>
      <x:c r="C31" s="7" t="str">
        <x:v>Записи за 01.10.2024–30.09.2026</x:v>
      </x:c>
      <x:c r="D31" s="7" t="str">
        <x:v>activity_history.csv</x:v>
      </x:c>
      <x:c r="E31" s="2"/>
      <x:c r="F31" s="2"/>
      <x:c r="G31" s="2"/>
    </x:row>
    <x:row r="32" ht="40" customHeight="1">
      <x:c r="A32" s="17" t="str">
        <x:v>После аттестации</x:v>
      </x:c>
      <x:c r="B32" s="25" t="n">
        <x:v>318</x:v>
      </x:c>
      <x:c r="C32" s="17" t="str">
        <x:v>completed с date &gt; last_review_date; 133 сотрудника</x:v>
      </x:c>
      <x:c r="D32" s="17" t="str">
        <x:v>CSV + employees.json; неоднозначность date ниже</x:v>
      </x:c>
      <x:c r="E32" s="2"/>
      <x:c r="F32" s="2"/>
      <x:c r="G32" s="2"/>
    </x:row>
    <x:row r="33" ht="40" customHeight="1">
      <x:c r="A33" s="7" t="str">
        <x:v>Цель не задана</x:v>
      </x:c>
      <x:c r="B33" s="24" t="n">
        <x:v>66</x:v>
      </x:c>
      <x:c r="C33" s="7" t="str">
        <x:v>career_goal = null</x:v>
      </x:c>
      <x:c r="D33" s="7" t="str">
        <x:v>employees.json</x:v>
      </x:c>
      <x:c r="E33" s="2"/>
      <x:c r="F33" s="2"/>
      <x:c r="G33" s="2"/>
    </x:row>
    <x:row r="34" ht="40" customHeight="1">
      <x:c r="A34" s="17" t="str">
        <x:v>Смена роли</x:v>
      </x:c>
      <x:c r="B34" s="25" t="n">
        <x:v>28</x:v>
      </x:c>
      <x:c r="C34" s="17" t="str">
        <x:v>career_goal.target_role отличается от role</x:v>
      </x:c>
      <x:c r="D34" s="17" t="str">
        <x:v>employees.json</x:v>
      </x:c>
      <x:c r="E34" s="2"/>
      <x:c r="F34" s="2"/>
      <x:c r="G34" s="2"/>
    </x:row>
    <x:row r="35" ht="22" customHeight="1">
      <x:c r="A35" s="2"/>
      <x:c r="B35" s="2"/>
      <x:c r="C35" s="2"/>
      <x:c r="D35" s="2"/>
      <x:c r="E35" s="2"/>
      <x:c r="F35" s="2"/>
      <x:c r="G35" s="2"/>
    </x:row>
    <x:row r="36" ht="22" customHeight="1">
      <x:c r="A36" s="2"/>
      <x:c r="B36" s="2"/>
      <x:c r="C36" s="2"/>
      <x:c r="D36" s="2"/>
      <x:c r="E36" s="2"/>
      <x:c r="F36" s="2"/>
      <x:c r="G36" s="2"/>
    </x:row>
    <x:row r="37" ht="34" customHeight="1">
      <x:c r="A37" s="14" t="str">
        <x:v>Открытый вопрос</x:v>
      </x:c>
      <x:c r="B37" s="15" t="str">
        <x:v>Что известно</x:v>
      </x:c>
      <x:c r="C37" s="15" t="str">
        <x:v>Предложение до уточнения</x:v>
      </x:c>
      <x:c r="D37" s="15" t="str">
        <x:v>Кто уточняет</x:v>
      </x:c>
      <x:c r="E37" s="16" t="str">
        <x:v>Влияние</x:v>
      </x:c>
      <x:c r="F37" s="2"/>
      <x:c r="G37" s="2"/>
    </x:row>
    <x:row r="38" ht="90" customHeight="1">
      <x:c r="A38" s="7" t="str">
        <x:v>Дата завершения</x:v>
      </x:c>
      <x:c r="B38" s="7" t="str">
        <x:v>У self_paced date — дата зачисления; completed_at отсутствует.</x:v>
      </x:c>
      <x:c r="C38" s="7" t="str">
        <x:v>Использовать date как доступное приближение для completed и описать ограничение.</x:v>
      </x:c>
      <x:c r="D38" s="7" t="str">
        <x:v>Аналитик</x:v>
      </x:c>
      <x:c r="E38" s="7" t="str">
        <x:v>Пограничные случаи пересчёта после аттестации.</x:v>
      </x:c>
      <x:c r="F38" s="2"/>
      <x:c r="G38" s="2"/>
    </x:row>
    <x:row r="39" ht="90" customHeight="1">
      <x:c r="A39" s="17" t="str">
        <x:v>Смена роли</x:v>
      </x:c>
      <x:c r="B39" s="17" t="str">
        <x:v>Есть карьерные цели в другой роли и ограничения target_roles у мероприятий.</x:v>
      </x:c>
      <x:c r="C39" s="17" t="str">
        <x:v>Не обходить ограничения аудитории; подтвердить у организаторов допустимость событий целевой роли.</x:v>
      </x:c>
      <x:c r="D39" s="17" t="str">
        <x:v>Аналитик</x:v>
      </x:c>
      <x:c r="E39" s="17" t="str">
        <x:v>Какие активности доступны при карьерном переходе.</x:v>
      </x:c>
      <x:c r="F39" s="2"/>
      <x:c r="G39" s="2"/>
    </x:row>
    <x:row r="40" ht="90" customHeight="1">
      <x:c r="A40" s="7" t="str">
        <x:v>Повтор обязательных</x:v>
      </x:c>
      <x:c r="B40" s="7" t="str">
        <x:v>README запрещает повтор completed, но EV_001–003 повторяются в истории.</x:v>
      </x:c>
      <x:c r="C40" s="7" t="str">
        <x:v>Сохранять исходную историю. Эти обязательные события не участвуют в рекомендациях.</x:v>
      </x:c>
      <x:c r="D40" s="7" t="str">
        <x:v>Аналитик</x:v>
      </x:c>
      <x:c r="E40" s="7" t="str">
        <x:v>Импорт не должен отвергать весь набор из-за повторов.</x:v>
      </x:c>
      <x:c r="F40" s="2"/>
      <x:c r="G40" s="2"/>
    </x:row>
    <x:row r="41" ht="90" customHeight="1">
      <x:c r="A41" s="17" t="str">
        <x:v>Результат без кандидатов</x:v>
      </x:c>
      <x:c r="B41" s="17" t="str">
        <x:v>После фильтров может не быть активности, которая закрывает нужный разрыв.</x:v>
      </x:c>
      <x:c r="C41" s="17" t="str">
        <x:v>Показать причину и оставшиеся разрывы; не придумывать мероприятие или эффект.</x:v>
      </x:c>
      <x:c r="D41" s="17" t="str">
        <x:v>Аналитик</x:v>
      </x:c>
      <x:c r="E41" s="17" t="str">
        <x:v>Сценарий объяснимого отказа от рекомендации.</x:v>
      </x:c>
      <x:c r="F41" s="2"/>
      <x:c r="G41" s="2"/>
    </x:row>
    <x:row r="42" ht="90" customHeight="1">
      <x:c r="A42" s="7" t="str">
        <x:v>Критерии отбора</x:v>
      </x:c>
      <x:c r="B42" s="7" t="str">
        <x:v>В полученном ТЗ нет числовой таблицы технических баллов.</x:v>
      </x:c>
      <x:c r="C42" s="7" t="str">
        <x:v>Уточнить полный набор артефактов и критериев; обязательные функции реализовывать сейчас.</x:v>
      </x:c>
      <x:c r="D42" s="7" t="str">
        <x:v>Капитан</x:v>
      </x:c>
      <x:c r="E42" s="7" t="str">
        <x:v>Приоритизация дополнительного функционала.</x:v>
      </x:c>
      <x:c r="F42" s="2"/>
      <x:c r="G42" s="2"/>
    </x:row>
    <x:row r="43" ht="22" customHeight="1">
      <x:c r="A43" s="2"/>
      <x:c r="B43" s="2"/>
      <x:c r="C43" s="2"/>
      <x:c r="D43" s="2"/>
      <x:c r="E43" s="2"/>
      <x:c r="F43" s="2"/>
      <x:c r="G43" s="2"/>
    </x:row>
    <x:row r="44" ht="22" customHeight="1">
      <x:c r="A44" s="2"/>
      <x:c r="B44" s="2"/>
      <x:c r="C44" s="2"/>
      <x:c r="D44" s="2"/>
      <x:c r="E44" s="2"/>
      <x:c r="F44" s="2"/>
      <x:c r="G44" s="2"/>
    </x:row>
    <x:row r="45" ht="63" customHeight="1">
      <x:c r="A45" s="2" t="str">
        <x:v>Обозначения</x:v>
      </x:c>
      <x:c r="B45" s="7" t="str">
        <x:v>Из ТЗ / Из данных — факт. Предложено / Гипотеза — решение команды, которое нужно проверить.</x:v>
      </x:c>
      <x:c r="C45" s="7"/>
      <x:c r="D45" s="2"/>
      <x:c r="E45" s="2"/>
      <x:c r="F45" s="2"/>
      <x:c r="G45" s="2"/>
    </x:row>
    <x:row r="46" ht="22" customHeight="1">
      <x:c r="A46" s="2"/>
      <x:c r="B46" s="2"/>
      <x:c r="C46" s="2"/>
      <x:c r="D46" s="2"/>
      <x:c r="E46" s="2"/>
      <x:c r="F46" s="2"/>
      <x:c r="G46" s="2"/>
    </x:row>
    <x:row r="47" ht="52" customHeight="1">
      <x:c r="A47" s="2" t="str">
        <x:v>Источники</x:v>
      </x:c>
      <x:c r="B47" s="7" t="str">
        <x:v>Техническое задание Career Quest, предоставленное организатором.</x:v>
      </x:c>
      <x:c r="C47" s="2"/>
      <x:c r="D47" s="2"/>
      <x:c r="E47" s="2"/>
      <x:c r="F47" s="2"/>
      <x:c r="G47" s="2"/>
    </x:row>
    <x:row r="48" ht="52" customHeight="1">
      <x:c r="A48" s="2"/>
      <x:c r="B48" s="7" t="str">
        <x:v>README.ru.md и README.md стартового кита Career Quest v1.0.</x:v>
      </x:c>
      <x:c r="C48" s="2"/>
      <x:c r="D48" s="2"/>
      <x:c r="E48" s="2"/>
      <x:c r="F48" s="2"/>
      <x:c r="G48" s="2"/>
    </x:row>
    <x:row r="49" ht="52" customHeight="1">
      <x:c r="A49" s="2"/>
      <x:c r="B49" s="7" t="str">
        <x:v>employees.json, events.json, skills.json, activity_history.csv. Дата среза 01.10.2026.</x:v>
      </x:c>
      <x:c r="C49" s="2"/>
      <x:c r="D49" s="2"/>
      <x:c r="E49" s="2"/>
      <x:c r="F49" s="2"/>
      <x:c r="G49" s="2"/>
    </x:row>
    <x:row r="50" ht="22" customHeight="1">
      <x:c r="A50" s="2"/>
      <x:c r="B50" s="2"/>
      <x:c r="C50" s="2"/>
      <x:c r="D50" s="2"/>
      <x:c r="E50" s="2"/>
      <x:c r="F50" s="2"/>
      <x:c r="G50" s="2"/>
    </x:row>
    <x:row r="51" ht="22" customHeight="1">
      <x:c r="A51" s="2"/>
      <x:c r="B51" s="2"/>
      <x:c r="C51" s="2"/>
      <x:c r="D51" s="2"/>
      <x:c r="E51" s="2"/>
      <x:c r="F51" s="2"/>
      <x:c r="G51" s="2"/>
    </x:row>
    <x:row r="52" ht="22" customHeight="1">
      <x:c r="A52" s="2"/>
      <x:c r="B52" s="2"/>
      <x:c r="C52" s="2"/>
      <x:c r="D52" s="2"/>
      <x:c r="E52" s="2"/>
      <x:c r="F52" s="2"/>
      <x:c r="G52" s="2"/>
    </x:row>
    <x:row r="53" ht="22" customHeight="1">
      <x:c r="A53" s="2"/>
      <x:c r="B53" s="2"/>
      <x:c r="C53" s="2"/>
      <x:c r="D53" s="2"/>
      <x:c r="E53" s="2"/>
      <x:c r="F53" s="2"/>
      <x:c r="G53" s="2"/>
    </x:row>
    <x:row r="54" ht="22" customHeight="1">
      <x:c r="A54" s="2"/>
      <x:c r="B54" s="2"/>
      <x:c r="C54" s="2"/>
      <x:c r="D54" s="2"/>
      <x:c r="E54" s="2"/>
      <x:c r="F54" s="2"/>
      <x:c r="G54" s="2"/>
    </x:row>
    <x:row r="55" ht="22" customHeight="1">
      <x:c r="A55" s="2"/>
      <x:c r="B55" s="2"/>
      <x:c r="C55" s="2"/>
      <x:c r="D55" s="2"/>
      <x:c r="E55" s="2"/>
      <x:c r="F55" s="2"/>
      <x:c r="G55" s="2"/>
    </x:row>
    <x:row r="56" ht="22" customHeight="1">
      <x:c r="A56" s="2"/>
      <x:c r="B56" s="2"/>
      <x:c r="C56" s="2"/>
      <x:c r="D56" s="2"/>
      <x:c r="E56" s="2"/>
      <x:c r="F56" s="2"/>
      <x:c r="G56" s="2"/>
    </x:row>
    <x:row r="57" ht="22" customHeight="1">
      <x:c r="A57" s="2"/>
      <x:c r="B57" s="2"/>
      <x:c r="C57" s="2"/>
      <x:c r="D57" s="2"/>
      <x:c r="E57" s="2"/>
      <x:c r="F57" s="2"/>
      <x:c r="G57" s="2"/>
    </x:row>
  </x:sheetData>
  <x:conditionalFormatting sqref="G9:G23">
    <x:cfRule type="containsText" dxfId="0" priority="1" operator="containsText" text="Гипотеза"/>
    <x:cfRule type="containsText" dxfId="1" priority="2" operator="containsText" text="Предложено"/>
  </x:conditionalFormatting>
  <x:dataValidations count="1">
    <x:dataValidation type="list" sqref="G9:G23">
      <x:formula1>"Из ТЗ,Из данных,Предложено,Гипотеза,Согласовано,Нужно уточнить"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5B4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0" hidden="0" customWidth="1"/>
    <x:col min="2" max="2" width="11.880000114440918" hidden="0" customWidth="1"/>
    <x:col min="3" max="3" width="31.8799991607666" hidden="0" customWidth="1"/>
    <x:col min="4" max="4" width="35.630001068115234" hidden="0" customWidth="1"/>
    <x:col min="5" max="5" width="38.130001068115234" hidden="0" customWidth="1"/>
    <x:col min="6" max="6" width="19.3799991607666" hidden="0" customWidth="1"/>
    <x:col min="7" max="7" width="18.75" hidden="0" customWidth="1"/>
    <x:col min="8" max="8" width="36.2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Career Quest Проверка MVP</x:v>
      </x:c>
      <x:c r="B2" s="5"/>
      <x:c r="C2" s="5"/>
      <x:c r="D2" s="5"/>
      <x:c r="E2" s="5"/>
      <x:c r="F2" s="5"/>
      <x:c r="G2" s="5"/>
      <x:c r="H2" s="5"/>
    </x:row>
    <x:row r="3" ht="22" customHeight="1">
      <x:c r="A3" s="6" t="str">
        <x:v>Матрица требований и приёмки. В столбцах G и H команда отмечает результат и доказательство.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44" customHeight="1">
      <x:c r="A5" s="31" t="str">
        <x:v>Всего MUST</x:v>
      </x:c>
      <x:c r="B5" s="31" t="n">
        <x:f>COUNTIFS(B9:B27,"MUST")</x:f>
        <x:v>14</x:v>
      </x:c>
      <x:c r="C5" s="31" t="str">
        <x:v>MUST проверено</x:v>
      </x:c>
      <x:c r="D5" s="31" t="n">
        <x:f>COUNTIFS(B9:B27,"MUST",G9:G27,"Пройдено")</x:f>
        <x:v>0</x:v>
      </x:c>
      <x:c r="E5" s="31" t="str">
        <x:v>Доля проверенных MUST</x:v>
      </x:c>
      <x:c r="F5" s="32" t="n">
        <x:f>IF(B5=0,0,D5/B5)</x:f>
        <x:v>0</x:v>
      </x:c>
      <x:c r="G5" s="31" t="str">
        <x:v>Провалено</x:v>
      </x:c>
      <x:c r="H5" s="31" t="n">
        <x:f>COUNTIFS(G9:G27,"Не пройдено")</x:f>
        <x:v>0</x:v>
      </x:c>
    </x:row>
    <x:row r="6" ht="22" customHeight="1">
      <x:c r="A6" s="2" t="str">
        <x:v>MUST означает обязательное поведение; SHOULD — дополнительную возможность. Статус «Пройдено» требует реальной проверки.</x:v>
      </x:c>
      <x:c r="B6" s="2"/>
      <x:c r="C6" s="2"/>
      <x:c r="D6" s="2"/>
      <x:c r="E6" s="2"/>
      <x:c r="F6" s="2"/>
      <x:c r="G6" s="2"/>
      <x:c r="H6" s="2"/>
    </x:row>
    <x:row r="7" ht="22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14" t="str">
        <x:v>ID</x:v>
      </x:c>
      <x:c r="B8" s="15" t="str">
        <x:v>Приоритет</x:v>
      </x:c>
      <x:c r="C8" s="15" t="str">
        <x:v>Требование</x:v>
      </x:c>
      <x:c r="D8" s="15" t="str">
        <x:v>Проверка</x:v>
      </x:c>
      <x:c r="E8" s="15" t="str">
        <x:v>Ожидаемый результат</x:v>
      </x:c>
      <x:c r="F8" s="15" t="str">
        <x:v>Владелец</x:v>
      </x:c>
      <x:c r="G8" s="15" t="str">
        <x:v>Статус</x:v>
      </x:c>
      <x:c r="H8" s="16" t="str">
        <x:v>Основание и доказательство</x:v>
      </x:c>
    </x:row>
    <x:row r="9" ht="91" customHeight="1">
      <x:c r="A9" s="18" t="str">
        <x:v>CQ01</x:v>
      </x:c>
      <x:c r="B9" s="18" t="str">
        <x:v>MUST</x:v>
      </x:c>
      <x:c r="C9" s="7" t="str">
        <x:v>Импорт стартового кита</x:v>
      </x:c>
      <x:c r="D9" s="7" t="str">
        <x:v>Загрузить 3 JSON-файла и CSV штатной командой.</x:v>
      </x:c>
      <x:c r="E9" s="7" t="str">
        <x:v>200 профилей, 40 событий, 60 навыков, 32 набора требований, 2 743 строки истории.</x:v>
      </x:c>
      <x:c r="F9" s="18" t="str">
        <x:v>Разработчик</x:v>
      </x:c>
      <x:c r="G9" s="33" t="str">
        <x:v>Не начато</x:v>
      </x:c>
      <x:c r="H9" s="34" t="str">
        <x:v>Основание: ТЗ, данные; README, схема файлов.</x:v>
      </x:c>
    </x:row>
    <x:row r="10" ht="91" customHeight="1">
      <x:c r="A10" s="19" t="str">
        <x:v>CQ02</x:v>
      </x:c>
      <x:c r="B10" s="19" t="str">
        <x:v>MUST</x:v>
      </x:c>
      <x:c r="C10" s="17" t="str">
        <x:v>Новые профили жюри</x:v>
      </x:c>
      <x:c r="D10" s="17" t="str">
        <x:v>Импортировать дополнительный профиль и связанные строки истории в формате кита.</x:v>
      </x:c>
      <x:c r="E10" s="17" t="str">
        <x:v>Новый сотрудник анализируется без правки кода. Ошибки схемы показаны понятно.</x:v>
      </x:c>
      <x:c r="F10" s="19" t="str">
        <x:v>Разработчик</x:v>
      </x:c>
      <x:c r="G10" s="33" t="str">
        <x:v>Не начато</x:v>
      </x:c>
      <x:c r="H10" s="34" t="str">
        <x:v>Основание: ТЗ, must-have.</x:v>
      </x:c>
    </x:row>
    <x:row r="11" ht="91" customHeight="1">
      <x:c r="A11" s="18" t="str">
        <x:v>CQ03</x:v>
      </x:c>
      <x:c r="B11" s="18" t="str">
        <x:v>MUST</x:v>
      </x:c>
      <x:c r="C11" s="7" t="str">
        <x:v>Актуальные навыки</x:v>
      </x:c>
      <x:c r="D11" s="7" t="str">
        <x:v>Открыть E0028; пересчитать completed после 24.06.2026.</x:v>
      </x:c>
      <x:c r="E11" s="7" t="str">
        <x:v>System Design = 3; API Design = 4. Повторный пересчёт не начисляет прирост снова.</x:v>
      </x:c>
      <x:c r="F11" s="18" t="str">
        <x:v>Разработчик</x:v>
      </x:c>
      <x:c r="G11" s="33" t="str">
        <x:v>Не начато</x:v>
      </x:c>
      <x:c r="H11" s="34" t="str">
        <x:v>Основание: профиль E0028 и запись EV_006 от 08.09.2026.</x:v>
      </x:c>
    </x:row>
    <x:row r="12" ht="91" customHeight="1">
      <x:c r="A12" s="19" t="str">
        <x:v>CQ04</x:v>
      </x:c>
      <x:c r="B12" s="19" t="str">
        <x:v>MUST</x:v>
      </x:c>
      <x:c r="C12" s="17" t="str">
        <x:v>Целевая траектория</x:v>
      </x:c>
      <x:c r="D12" s="17" t="str">
        <x:v>Проверить career_goal, отсутствие цели и сотрудника Lead.</x:v>
      </x:c>
      <x:c r="E12" s="17" t="str">
        <x:v>Используется валидный целевой профиль. Нет вымышленного грейда; принятое поведение без цели описано.</x:v>
      </x:c>
      <x:c r="F12" s="19" t="str">
        <x:v>Разработчик</x:v>
      </x:c>
      <x:c r="G12" s="33" t="str">
        <x:v>Не начато</x:v>
      </x:c>
      <x:c r="H12" s="34" t="str">
        <x:v>Основание: ТЗ, траектория; README, career_goal и грейды.</x:v>
      </x:c>
    </x:row>
    <x:row r="13" ht="91" customHeight="1">
      <x:c r="A13" s="18" t="str">
        <x:v>CQ05</x:v>
      </x:c>
      <x:c r="B13" s="18" t="str">
        <x:v>MUST</x:v>
      </x:c>
      <x:c r="C13" s="7" t="str">
        <x:v>Допустимые мероприятия</x:v>
      </x:c>
      <x:c r="D13" s="7" t="str">
        <x:v>Проверить mandatory, роль, грейд, prerequisites, сессии, историю завершений.</x:v>
      </x:c>
      <x:c r="E13" s="7" t="str">
        <x:v>Обязательные и недоступные события не рекомендуются. Повторы разрешены для EV_036.</x:v>
      </x:c>
      <x:c r="F13" s="18" t="str">
        <x:v>Разработчик</x:v>
      </x:c>
      <x:c r="G13" s="33" t="str">
        <x:v>Не начато</x:v>
      </x:c>
      <x:c r="H13" s="34" t="str">
        <x:v>Основание: README, events и правила.</x:v>
      </x:c>
    </x:row>
    <x:row r="14" ht="91" customHeight="1">
      <x:c r="A14" s="19" t="str">
        <x:v>CQ06</x:v>
      </x:c>
      <x:c r="B14" s="19" t="str">
        <x:v>MUST</x:v>
      </x:c>
      <x:c r="C14" s="17" t="str">
        <x:v>Реальный прирост</x:v>
      </x:c>
      <x:c r="D14" s="17" t="str">
        <x:v>Проверить событие с max_level ниже или равным текущему уровню навыка.</x:v>
      </x:c>
      <x:c r="E14" s="17" t="str">
        <x:v>Нет отрицательного прироста и ложного закрытия разрыва. Уровень не выше 5.</x:v>
      </x:c>
      <x:c r="F14" s="19" t="str">
        <x:v>Разработчик</x:v>
      </x:c>
      <x:c r="G14" s="33" t="str">
        <x:v>Не начато</x:v>
      </x:c>
      <x:c r="H14" s="34" t="str">
        <x:v>Основание: README, gain и max_level.</x:v>
      </x:c>
    </x:row>
    <x:row r="15" ht="91" customHeight="1">
      <x:c r="A15" s="18" t="str">
        <x:v>CQ07</x:v>
      </x:c>
      <x:c r="B15" s="18" t="str">
        <x:v>MUST</x:v>
      </x:c>
      <x:c r="C15" s="7" t="str">
        <x:v>Многофакторный выбор</x:v>
      </x:c>
      <x:c r="D15" s="7" t="str">
        <x:v>Сравнить профили с одинаковыми навыками и различной историей; добавить критичный разрыв.</x:v>
      </x:c>
      <x:c r="E15" s="7" t="str">
        <x:v>1–3 допустимых шага учитывают цель, разрывы и историю. При отсутствии кандидатов видна причина.</x:v>
      </x:c>
      <x:c r="F15" s="18" t="str">
        <x:v>Аналитик</x:v>
      </x:c>
      <x:c r="G15" s="33" t="str">
        <x:v>Не начато</x:v>
      </x:c>
      <x:c r="H15" s="34" t="str">
        <x:v>Основание: ТЗ, ядро задачи и проверочные профили.</x:v>
      </x:c>
    </x:row>
    <x:row r="16" ht="91" customHeight="1">
      <x:c r="A16" s="19" t="str">
        <x:v>CQ08</x:v>
      </x:c>
      <x:c r="B16" s="19" t="str">
        <x:v>MUST</x:v>
      </x:c>
      <x:c r="C16" s="17" t="str">
        <x:v>Объяснение выбора</x:v>
      </x:c>
      <x:c r="D16" s="17" t="str">
        <x:v>Сверить обоснование каждой рекомендации с исходными фактами.</x:v>
      </x:c>
      <x:c r="E16" s="17" t="str">
        <x:v>Уровни, требования, эффект и ссылки на историю достоверны. Нет выдуманных причин пропуска.</x:v>
      </x:c>
      <x:c r="F16" s="19" t="str">
        <x:v>Аналитик</x:v>
      </x:c>
      <x:c r="G16" s="33" t="str">
        <x:v>Не начато</x:v>
      </x:c>
      <x:c r="H16" s="34" t="str">
        <x:v>Основание: ТЗ, explainability.</x:v>
      </x:c>
    </x:row>
    <x:row r="17" ht="91" customHeight="1">
      <x:c r="A17" s="18" t="str">
        <x:v>CQ09</x:v>
      </x:c>
      <x:c r="B17" s="18" t="str">
        <x:v>MUST</x:v>
      </x:c>
      <x:c r="C17" s="7" t="str">
        <x:v>Завершение и прогресс</x:v>
      </x:c>
      <x:c r="D17" s="7" t="str">
        <x:v>Завершить выбранную активность; повторить тот же запрос.</x:v>
      </x:c>
      <x:c r="E17" s="7" t="str">
        <x:v>История и прогресс обновляются один раз. Пересчитаны разрывы и рекомендации.</x:v>
      </x:c>
      <x:c r="F17" s="18" t="str">
        <x:v>Разработчик</x:v>
      </x:c>
      <x:c r="G17" s="33" t="str">
        <x:v>Не начато</x:v>
      </x:c>
      <x:c r="H17" s="34" t="str">
        <x:v>Основание: ТЗ, ключевой сценарий; README, правила роста.</x:v>
      </x:c>
    </x:row>
    <x:row r="18" ht="91" customHeight="1">
      <x:c r="A18" s="19" t="str">
        <x:v>CQ10</x:v>
      </x:c>
      <x:c r="B18" s="19" t="str">
        <x:v>MUST</x:v>
      </x:c>
      <x:c r="C18" s="17" t="str">
        <x:v>HR срез</x:v>
      </x:c>
      <x:c r="D18" s="17" t="str">
        <x:v>Открыть HR-экран и сверить несколько агрегатов вручную.</x:v>
      </x:c>
      <x:c r="E18" s="17" t="str">
        <x:v>Видны проседающие компетенции и участие. База сравнения и определения метрик подписаны.</x:v>
      </x:c>
      <x:c r="F18" s="19" t="str">
        <x:v>Разработчик</x:v>
      </x:c>
      <x:c r="G18" s="33" t="str">
        <x:v>Не начато</x:v>
      </x:c>
      <x:c r="H18" s="34" t="str">
        <x:v>Основание: ТЗ, второй пользователь.</x:v>
      </x:c>
    </x:row>
    <x:row r="19" ht="91" customHeight="1">
      <x:c r="A19" s="18" t="str">
        <x:v>CQ11</x:v>
      </x:c>
      <x:c r="B19" s="18" t="str">
        <x:v>MUST</x:v>
      </x:c>
      <x:c r="C19" s="7" t="str">
        <x:v>Права и приватность</x:v>
      </x:c>
      <x:c r="D19" s="7" t="str">
        <x:v>Под сотрудником запросить HR API и чужой профиль по ID.</x:v>
      </x:c>
      <x:c r="E19" s="7" t="str">
        <x:v>Доступ запрещён на сервере. Нет публичного рейтинга сотрудников.</x:v>
      </x:c>
      <x:c r="F19" s="18" t="str">
        <x:v>QA и README</x:v>
      </x:c>
      <x:c r="G19" s="33" t="str">
        <x:v>Не начато</x:v>
      </x:c>
      <x:c r="H19" s="34" t="str">
        <x:v>Основание: ТЗ, ограничения безопасности и приватности.</x:v>
      </x:c>
    </x:row>
    <x:row r="20" ht="91" customHeight="1">
      <x:c r="A20" s="19" t="str">
        <x:v>CQ12</x:v>
      </x:c>
      <x:c r="B20" s="19" t="str">
        <x:v>MUST</x:v>
      </x:c>
      <x:c r="C20" s="17" t="str">
        <x:v>Время отклика</x:v>
      </x:c>
      <x:c r="D20" s="17" t="str">
        <x:v>Замерить загрузку интерфейса и запрос рекомендации; записать окружение и время.</x:v>
      </x:c>
      <x:c r="E20" s="17" t="str">
        <x:v>Интерфейс ≤ 2 с; AI-рекомендация ≤ 10 с. Проверить и первый запрос, а не только кэш.</x:v>
      </x:c>
      <x:c r="F20" s="19" t="str">
        <x:v>QA и README</x:v>
      </x:c>
      <x:c r="G20" s="33" t="str">
        <x:v>Не начато</x:v>
      </x:c>
      <x:c r="H20" s="34" t="str">
        <x:v>Основание: ТЗ, допустимая задержка.</x:v>
      </x:c>
    </x:row>
    <x:row r="21" ht="91" customHeight="1">
      <x:c r="A21" s="18" t="str">
        <x:v>CQ13</x:v>
      </x:c>
      <x:c r="B21" s="18" t="str">
        <x:v>MUST</x:v>
      </x:c>
      <x:c r="C21" s="7" t="str">
        <x:v>Запуск одной командой</x:v>
      </x:c>
      <x:c r="D21" s="7" t="str">
        <x:v>На другом ноутбуке следовать README: окружение, запуск, импорт, вход, основной сценарий.</x:v>
      </x:c>
      <x:c r="E21" s="7" t="str">
        <x:v>Все сервисы и миграции готовы; эксперт проверяет ключевую функцию без личного аккаунта участника.</x:v>
      </x:c>
      <x:c r="F21" s="18" t="str">
        <x:v>QA и README</x:v>
      </x:c>
      <x:c r="G21" s="33" t="str">
        <x:v>Не начато</x:v>
      </x:c>
      <x:c r="H21" s="34" t="str">
        <x:v>Основание: ТЗ; Положение, п. 5.4.15–16 и 5.6.6.</x:v>
      </x:c>
    </x:row>
    <x:row r="22" ht="91" customHeight="1">
      <x:c r="A22" s="19" t="str">
        <x:v>CQ14</x:v>
      </x:c>
      <x:c r="B22" s="19" t="str">
        <x:v>MUST</x:v>
      </x:c>
      <x:c r="C22" s="17" t="str">
        <x:v>История и сдача</x:v>
      </x:c>
      <x:c r="D22" s="17" t="str">
        <x:v>Каждый час фиксировать прогресс; проверить опубликованную версию перед 18:00.</x:v>
      </x:c>
      <x:c r="E22" s="17" t="str">
        <x:v>Официальный репозиторий, README и итоговая версия доступны. Ключи не попали в Git.</x:v>
      </x:c>
      <x:c r="F22" s="19" t="str">
        <x:v>Разработчик</x:v>
      </x:c>
      <x:c r="G22" s="33" t="str">
        <x:v>Не начато</x:v>
      </x:c>
      <x:c r="H22" s="34" t="str">
        <x:v>Основание: Положение, п. 5.4.8–14.</x:v>
      </x:c>
    </x:row>
    <x:row r="23" ht="91" customHeight="1">
      <x:c r="A23" s="18" t="str">
        <x:v>CQ15</x:v>
      </x:c>
      <x:c r="B23" s="18" t="str">
        <x:v>SHOULD</x:v>
      </x:c>
      <x:c r="C23" s="7" t="str">
        <x:v>Отказ внешнего AI</x:v>
      </x:c>
      <x:c r="D23" s="7" t="str">
        <x:v>Имитировать timeout и неверный JSON провайдера.</x:v>
      </x:c>
      <x:c r="E23" s="7" t="str">
        <x:v>Понятная ошибка или явно отмеченный расчёт без LLM. Прогресс не повреждён.</x:v>
      </x:c>
      <x:c r="F23" s="18" t="str">
        <x:v>Разработчик</x:v>
      </x:c>
      <x:c r="G23" s="33" t="str">
        <x:v>Не начато</x:v>
      </x:c>
      <x:c r="H23" s="34" t="str">
        <x:v>Решение команды: устойчивость демонстрации.</x:v>
      </x:c>
    </x:row>
    <x:row r="24" ht="91" customHeight="1">
      <x:c r="A24" s="19" t="str">
        <x:v>CQ16</x:v>
      </x:c>
      <x:c r="B24" s="19" t="str">
        <x:v>SHOULD</x:v>
      </x:c>
      <x:c r="C24" s="17" t="str">
        <x:v>Мобильный интерфейс</x:v>
      </x:c>
      <x:c r="D24" s="17" t="str">
        <x:v>Пройти основной сценарий с телефона.</x:v>
      </x:c>
      <x:c r="E24" s="17" t="str">
        <x:v>Форма, рекомендации и кнопки доступны без горизонтального переполнения.</x:v>
      </x:c>
      <x:c r="F24" s="19" t="str">
        <x:v>QA и README</x:v>
      </x:c>
      <x:c r="G24" s="33" t="str">
        <x:v>Не начато</x:v>
      </x:c>
      <x:c r="H24" s="34" t="str">
        <x:v>Основание: ТЗ, опциональные возможности.</x:v>
      </x:c>
    </x:row>
    <x:row r="25" ht="91" customHeight="1">
      <x:c r="A25" s="18" t="str">
        <x:v>CQ17</x:v>
      </x:c>
      <x:c r="B25" s="18" t="str">
        <x:v>SHOULD</x:v>
      </x:c>
      <x:c r="C25" s="7" t="str">
        <x:v>Казахский и русский</x:v>
      </x:c>
      <x:c r="D25" s="7" t="str">
        <x:v>Открыть профиль с preferred_language = kk и ru.</x:v>
      </x:c>
      <x:c r="E25" s="7" t="str">
        <x:v>Основные подписи и объяснения доступны на выбранном языке; идентификаторы данных сохранены.</x:v>
      </x:c>
      <x:c r="F25" s="18" t="str">
        <x:v>QA и README</x:v>
      </x:c>
      <x:c r="G25" s="33" t="str">
        <x:v>Не начато</x:v>
      </x:c>
      <x:c r="H25" s="34" t="str">
        <x:v>Основание: ТЗ, локализация опциональна.</x:v>
      </x:c>
    </x:row>
    <x:row r="26" ht="91" customHeight="1">
      <x:c r="A26" s="19" t="str">
        <x:v>CQ18</x:v>
      </x:c>
      <x:c r="B26" s="19" t="str">
        <x:v>SHOULD</x:v>
      </x:c>
      <x:c r="C26" s="17" t="str">
        <x:v>Повторный импорт</x:v>
      </x:c>
      <x:c r="D26" s="17" t="str">
        <x:v>Загрузить тот же набор второй раз.</x:v>
      </x:c>
      <x:c r="E26" s="17" t="str">
        <x:v>Нет дублирующих сотрудников, истории и начислений навыков; правила обновления описаны.</x:v>
      </x:c>
      <x:c r="F26" s="19" t="str">
        <x:v>Разработчик</x:v>
      </x:c>
      <x:c r="G26" s="33" t="str">
        <x:v>Не начато</x:v>
      </x:c>
      <x:c r="H26" s="34" t="str">
        <x:v>Решение команды: надёжность импорта на защите.</x:v>
      </x:c>
    </x:row>
    <x:row r="27" ht="91" customHeight="1">
      <x:c r="A27" s="18" t="str">
        <x:v>CQ19</x:v>
      </x:c>
      <x:c r="B27" s="18" t="str">
        <x:v>SHOULD</x:v>
      </x:c>
      <x:c r="C27" s="7" t="str">
        <x:v>Демонстрация и доказательства</x:v>
      </x:c>
      <x:c r="D27" s="7" t="str">
        <x:v>Пройти обычный и сложный сценарий; сохранить результаты проверок.</x:v>
      </x:c>
      <x:c r="E27" s="7" t="str">
        <x:v>Есть короткий сценарий показа, QA-отчёт и честно указанные ограничения.</x:v>
      </x:c>
      <x:c r="F27" s="18" t="str">
        <x:v>Аналитик</x:v>
      </x:c>
      <x:c r="G27" s="33" t="str">
        <x:v>Не начато</x:v>
      </x:c>
      <x:c r="H27" s="34" t="str">
        <x:v>Решение команды: подготовка защиты.</x:v>
      </x:c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74" customHeight="1">
      <x:c r="A30" s="2" t="str">
        <x:v>Как пользоваться</x:v>
      </x:c>
      <x:c r="B30" s="2"/>
      <x:c r="C30" s="7" t="str">
        <x:v>QA меняет статус и добавляет в столбец H фактический результат, шаги воспроизведения или ссылку на проверку.</x:v>
      </x:c>
      <x:c r="D30" s="7"/>
      <x:c r="E30" s="7"/>
      <x:c r="F30" s="2"/>
      <x:c r="G30" s="2"/>
      <x:c r="H30" s="2"/>
    </x:row>
    <x:row r="31" ht="58" customHeight="1">
      <x:c r="A31" s="2"/>
      <x:c r="B31" s="2"/>
      <x:c r="C31" s="7" t="str">
        <x:v>Жёлтые ячейки — поля для обновления командой. Верхние счётчики пересчитываются автоматически.</x:v>
      </x:c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</x:row>
  </x:sheetData>
  <x:conditionalFormatting sqref="G9:G27">
    <x:cfRule type="containsText" dxfId="2" priority="1" operator="containsText" text="Не пройдено"/>
  </x:conditionalFormatting>
  <x:dataValidations count="1">
    <x:dataValidation type="list" sqref="G9:G27">
      <x:formula1>"Не начато,В работе,Пройдено,Не пройдено,Нужно уточнить"</x:formula1>
    </x:dataValidation>
  </x:dataValidations>
  <x:pageMargins left="0.7" right="0.7" top="0.75" bottom="0.75" header="0.3" footer="0.3"/>
</x:worksheet>
</file>